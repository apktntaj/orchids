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3fe22b1-5071-4b37-a45a-04bd570e1bff\"/>
    </mc:Choice>
  </mc:AlternateContent>
  <xr:revisionPtr revIDLastSave="0" documentId="8_{7210E803-58AB-4667-B6EB-613714898C9C}" xr6:coauthVersionLast="47" xr6:coauthVersionMax="47" xr10:uidLastSave="{00000000-0000-0000-0000-000000000000}"/>
  <bookViews>
    <workbookView xWindow="-120" yWindow="-120" windowWidth="19440" windowHeight="10440"/>
  </bookViews>
  <sheets>
    <sheet name="order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9" i="1" l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J15" i="1"/>
  <c r="I15" i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T7" i="1" a="1"/>
  <c r="T15" i="1" s="1"/>
  <c r="U15" i="1" s="1"/>
  <c r="I7" i="1"/>
  <c r="J7" i="1" s="1"/>
  <c r="I6" i="1"/>
  <c r="J6" i="1" s="1"/>
  <c r="J5" i="1"/>
  <c r="I5" i="1"/>
  <c r="I4" i="1"/>
  <c r="J4" i="1" s="1"/>
  <c r="J3" i="1"/>
  <c r="I3" i="1"/>
  <c r="T2" i="1" a="1"/>
  <c r="T4" i="1" s="1"/>
  <c r="U4" i="1" s="1"/>
  <c r="J2" i="1"/>
  <c r="I2" i="1"/>
  <c r="W1" i="1" a="1"/>
  <c r="W8" i="1" s="1"/>
  <c r="X8" i="1" s="1"/>
  <c r="T2" i="1" l="1"/>
  <c r="U2" i="1" s="1"/>
  <c r="T16" i="1"/>
  <c r="U16" i="1" s="1"/>
  <c r="T3" i="1"/>
  <c r="U3" i="1" s="1"/>
  <c r="T18" i="1"/>
  <c r="U18" i="1" s="1"/>
  <c r="T19" i="1"/>
  <c r="U19" i="1" s="1"/>
  <c r="T17" i="1"/>
  <c r="U17" i="1" s="1"/>
  <c r="W1" i="1"/>
  <c r="W3" i="1"/>
  <c r="X3" i="1" s="1"/>
  <c r="W2" i="1"/>
  <c r="X2" i="1" s="1"/>
  <c r="T7" i="1"/>
  <c r="W4" i="1"/>
  <c r="X4" i="1" s="1"/>
  <c r="T8" i="1"/>
  <c r="U8" i="1" s="1"/>
  <c r="W5" i="1"/>
  <c r="X5" i="1" s="1"/>
  <c r="T9" i="1"/>
  <c r="U9" i="1" s="1"/>
  <c r="W6" i="1"/>
  <c r="X6" i="1" s="1"/>
  <c r="T10" i="1"/>
  <c r="U10" i="1" s="1"/>
  <c r="W7" i="1"/>
  <c r="X7" i="1" s="1"/>
  <c r="T11" i="1"/>
  <c r="U11" i="1" s="1"/>
  <c r="W9" i="1"/>
  <c r="T13" i="1"/>
  <c r="U13" i="1" s="1"/>
  <c r="T12" i="1"/>
  <c r="U12" i="1" s="1"/>
  <c r="T14" i="1"/>
  <c r="U14" i="1" s="1"/>
</calcChain>
</file>

<file path=xl/sharedStrings.xml><?xml version="1.0" encoding="utf-8"?>
<sst xmlns="http://schemas.openxmlformats.org/spreadsheetml/2006/main" count="263" uniqueCount="78">
  <si>
    <t>customer_id</t>
  </si>
  <si>
    <t>customer_name</t>
  </si>
  <si>
    <t>total_pallets</t>
  </si>
  <si>
    <t>eta</t>
  </si>
  <si>
    <t>ready_date</t>
  </si>
  <si>
    <t>packed_by</t>
  </si>
  <si>
    <t>priority</t>
  </si>
  <si>
    <t>box_size</t>
  </si>
  <si>
    <t>box_qty</t>
  </si>
  <si>
    <t>total_lbs</t>
  </si>
  <si>
    <t>grade</t>
  </si>
  <si>
    <t>top_color</t>
  </si>
  <si>
    <t>pallets</t>
  </si>
  <si>
    <t>cases</t>
  </si>
  <si>
    <t>notes</t>
  </si>
  <si>
    <t>weight</t>
  </si>
  <si>
    <t>box</t>
  </si>
  <si>
    <t>GENM001</t>
  </si>
  <si>
    <t>General Meats</t>
  </si>
  <si>
    <t>ESME</t>
  </si>
  <si>
    <t>high</t>
  </si>
  <si>
    <t>11lb</t>
  </si>
  <si>
    <t>Large</t>
  </si>
  <si>
    <t>White</t>
  </si>
  <si>
    <t>4lb</t>
  </si>
  <si>
    <t>2lb</t>
  </si>
  <si>
    <t>9lb</t>
  </si>
  <si>
    <t>conditional - pack if available</t>
  </si>
  <si>
    <t>YAFA001</t>
  </si>
  <si>
    <t>YAFA</t>
  </si>
  <si>
    <t>Yafa Top</t>
  </si>
  <si>
    <t>102 master cartons</t>
  </si>
  <si>
    <t>pallet</t>
  </si>
  <si>
    <t>INTM001</t>
  </si>
  <si>
    <t>International Market (SHAY)</t>
  </si>
  <si>
    <t>medium</t>
  </si>
  <si>
    <t>Choice</t>
  </si>
  <si>
    <t>Red Orchid</t>
  </si>
  <si>
    <t>should be shipped third week of Jan</t>
  </si>
  <si>
    <t>LIPA001</t>
  </si>
  <si>
    <t>Lipari Foods</t>
  </si>
  <si>
    <t>critical</t>
  </si>
  <si>
    <t>Fancy</t>
  </si>
  <si>
    <t>Alshark</t>
  </si>
  <si>
    <t>7lb</t>
  </si>
  <si>
    <t>Orchid</t>
  </si>
  <si>
    <t>18 pallets + 125 extra cases</t>
  </si>
  <si>
    <t>HOLY001</t>
  </si>
  <si>
    <t>HolyLand</t>
  </si>
  <si>
    <t>Red</t>
  </si>
  <si>
    <t>Brown</t>
  </si>
  <si>
    <t>Organic</t>
  </si>
  <si>
    <t>Gray</t>
  </si>
  <si>
    <t>Soft</t>
  </si>
  <si>
    <t>25lb</t>
  </si>
  <si>
    <t>GREE001</t>
  </si>
  <si>
    <t>Green Vine Market</t>
  </si>
  <si>
    <t>low</t>
  </si>
  <si>
    <t>INDI001</t>
  </si>
  <si>
    <t>India Farmers</t>
  </si>
  <si>
    <t>1lb</t>
  </si>
  <si>
    <t>FIRDOUS</t>
  </si>
  <si>
    <t>FIRDOUS Medjool fancy brand - 70mc</t>
  </si>
  <si>
    <t>FIRDOUS Medjool fancy brand - 130mc</t>
  </si>
  <si>
    <t>FIRDOUS Medjool fancy brand</t>
  </si>
  <si>
    <t>OMPR001</t>
  </si>
  <si>
    <t>OM Produce</t>
  </si>
  <si>
    <t>DESH001</t>
  </si>
  <si>
    <t>Deshi</t>
  </si>
  <si>
    <t>Shahi</t>
  </si>
  <si>
    <t>NEWR001</t>
  </si>
  <si>
    <t>New Royal</t>
  </si>
  <si>
    <t>Purple Box</t>
  </si>
  <si>
    <t>Red Box</t>
  </si>
  <si>
    <t>FAMO001</t>
  </si>
  <si>
    <t>Famous Foods</t>
  </si>
  <si>
    <t>Medjool Fancy</t>
  </si>
  <si>
    <t>Medjool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</si>
</sst>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FFFFFF"/>
      <name val="Liberation Sans"/>
    </font>
    <font>
      <sz val="10"/>
      <color rgb="FF000000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4D4D4D"/>
        <bgColor rgb="FF4D4D4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6">
    <xf numFmtId="0" fontId="0" fillId="0" borderId="0" xfId="0"/>
    <xf numFmtId="0" fontId="14" fillId="9" borderId="2" xfId="11" applyFont="1" applyFill="1" applyBorder="1" applyAlignment="1"/>
    <xf numFmtId="0" fontId="1" fillId="0" borderId="0" xfId="11"/>
    <xf numFmtId="0" fontId="14" fillId="10" borderId="2" xfId="11" applyFont="1" applyFill="1" applyBorder="1" applyAlignment="1"/>
    <xf numFmtId="0" fontId="15" fillId="11" borderId="2" xfId="11" applyFont="1" applyFill="1" applyBorder="1" applyAlignment="1"/>
    <xf numFmtId="0" fontId="15" fillId="12" borderId="2" xfId="11" applyFont="1" applyFill="1" applyBorder="1" applyAlignme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A1:O39" totalsRowShown="0">
  <autoFilter ref="A1:O39">
    <filterColumn colId="10">
      <filters>
        <filter val="Large"/>
      </filters>
    </filterColumn>
  </autoFilter>
  <tableColumns count="15">
    <tableColumn id="1" name="customer_id"/>
    <tableColumn id="2" name="customer_name"/>
    <tableColumn id="3" name="total_pallets"/>
    <tableColumn id="4" name="eta"/>
    <tableColumn id="5" name="ready_date"/>
    <tableColumn id="6" name="packed_by"/>
    <tableColumn id="7" name="priority"/>
    <tableColumn id="8" name="box_size"/>
    <tableColumn id="9" name="box_qty"/>
    <tableColumn id="10" name="total_lbs"/>
    <tableColumn id="11" name="grade"/>
    <tableColumn id="12" name="top_color"/>
    <tableColumn id="13" name="pallets"/>
    <tableColumn id="14" name="cases"/>
    <tableColumn id="15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tabSelected="1" workbookViewId="0"/>
  </sheetViews>
  <sheetFormatPr defaultRowHeight="12.75"/>
  <cols>
    <col min="1" max="1" width="12.140625" customWidth="1"/>
    <col min="2" max="2" width="25.5703125" customWidth="1"/>
    <col min="3" max="3" width="12" customWidth="1"/>
    <col min="4" max="4" width="6.85546875" customWidth="1"/>
    <col min="5" max="5" width="11.140625" customWidth="1"/>
    <col min="6" max="6" width="10.85546875" customWidth="1"/>
    <col min="7" max="7" width="8.42578125" customWidth="1"/>
    <col min="8" max="8" width="9.28515625" customWidth="1"/>
    <col min="9" max="9" width="8.42578125" customWidth="1"/>
    <col min="10" max="10" width="11.85546875" customWidth="1"/>
    <col min="11" max="11" width="7.5703125" customWidth="1"/>
    <col min="12" max="12" width="11.28515625" customWidth="1"/>
    <col min="13" max="13" width="7.28515625" customWidth="1"/>
    <col min="14" max="14" width="6.85546875" customWidth="1"/>
    <col min="15" max="15" width="35.42578125" customWidth="1"/>
    <col min="16" max="16" width="4.7109375" customWidth="1"/>
    <col min="17" max="24" width="12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 t="s">
        <v>15</v>
      </c>
      <c r="R1" s="2" t="s">
        <v>16</v>
      </c>
      <c r="S1" s="2"/>
      <c r="T1" s="2" t="s">
        <v>10</v>
      </c>
      <c r="U1" s="2" t="s">
        <v>9</v>
      </c>
      <c r="V1" s="2"/>
      <c r="W1" s="2" t="str">
        <f t="array" ref="W1:W9">_xlfn.UNIQUE(H:H)</f>
        <v>box_size</v>
      </c>
      <c r="X1" s="2" t="s">
        <v>12</v>
      </c>
    </row>
    <row r="2" spans="1:24">
      <c r="A2" s="3" t="s">
        <v>17</v>
      </c>
      <c r="B2" s="4" t="s">
        <v>18</v>
      </c>
      <c r="C2" s="4">
        <v>8</v>
      </c>
      <c r="D2" s="4">
        <v>46045</v>
      </c>
      <c r="E2" s="4">
        <v>46038</v>
      </c>
      <c r="F2" s="4" t="s">
        <v>19</v>
      </c>
      <c r="G2" s="4" t="s">
        <v>20</v>
      </c>
      <c r="H2" s="4" t="s">
        <v>21</v>
      </c>
      <c r="I2" s="4">
        <f t="shared" ref="I2:I39" si="0">VALUE(LEFT(H2, FIND("lb", H2) - 1))</f>
        <v>11</v>
      </c>
      <c r="J2" s="4">
        <f t="shared" ref="J2:J39" si="1">(C2*_xlfn.IFS(I2=1, 1 * 1536, I2=2, 2 * 1024, I2= 4, 4 * 448, I2=7, 7 * 260, I2=9, 9 * 220, I2=11, 11 * 200, I2=25, 25 * 96, 1, 0))</f>
        <v>17600</v>
      </c>
      <c r="K2" s="4" t="s">
        <v>22</v>
      </c>
      <c r="L2" s="4" t="s">
        <v>23</v>
      </c>
      <c r="M2" s="4">
        <v>3</v>
      </c>
      <c r="N2" s="4"/>
      <c r="O2" s="5"/>
      <c r="P2" s="2"/>
      <c r="Q2" s="2">
        <v>1</v>
      </c>
      <c r="R2" s="2">
        <v>1536</v>
      </c>
      <c r="S2" s="2"/>
      <c r="T2" s="2" t="str">
        <f t="array" ref="T2:T4">_xlfn.UNIQUE(K2:K39)</f>
        <v>Large</v>
      </c>
      <c r="U2" s="2">
        <f>SUMIF(K:K, T2, J:J)</f>
        <v>284424</v>
      </c>
      <c r="V2" s="2"/>
      <c r="W2" s="2" t="str">
        <v>11lb</v>
      </c>
      <c r="X2" s="2">
        <f t="shared" ref="X2:X8" si="2">SUMIF(H:H, W2, M:M)</f>
        <v>65</v>
      </c>
    </row>
    <row r="3" spans="1:24">
      <c r="A3" s="3" t="s">
        <v>17</v>
      </c>
      <c r="B3" s="4" t="s">
        <v>18</v>
      </c>
      <c r="C3" s="4">
        <v>8</v>
      </c>
      <c r="D3" s="4">
        <v>46045</v>
      </c>
      <c r="E3" s="4">
        <v>46038</v>
      </c>
      <c r="F3" s="4" t="s">
        <v>19</v>
      </c>
      <c r="G3" s="4" t="s">
        <v>20</v>
      </c>
      <c r="H3" s="4" t="s">
        <v>24</v>
      </c>
      <c r="I3" s="4">
        <f t="shared" si="0"/>
        <v>4</v>
      </c>
      <c r="J3" s="4">
        <f t="shared" si="1"/>
        <v>14336</v>
      </c>
      <c r="K3" s="4" t="s">
        <v>22</v>
      </c>
      <c r="L3" s="4" t="s">
        <v>23</v>
      </c>
      <c r="M3" s="4">
        <v>3</v>
      </c>
      <c r="N3" s="4"/>
      <c r="O3" s="5"/>
      <c r="P3" s="2"/>
      <c r="Q3" s="2">
        <v>2</v>
      </c>
      <c r="R3" s="2">
        <v>1024</v>
      </c>
      <c r="S3" s="2"/>
      <c r="T3" s="2" t="str">
        <v>Choice</v>
      </c>
      <c r="U3" s="2">
        <f>SUMIF(K:K, T3, J:J)</f>
        <v>187236</v>
      </c>
      <c r="V3" s="2"/>
      <c r="W3" s="2" t="str">
        <v>4lb</v>
      </c>
      <c r="X3" s="2">
        <f t="shared" si="2"/>
        <v>46</v>
      </c>
    </row>
    <row r="4" spans="1:24">
      <c r="A4" s="3" t="s">
        <v>17</v>
      </c>
      <c r="B4" s="4" t="s">
        <v>18</v>
      </c>
      <c r="C4" s="4">
        <v>8</v>
      </c>
      <c r="D4" s="4">
        <v>46045</v>
      </c>
      <c r="E4" s="4">
        <v>46038</v>
      </c>
      <c r="F4" s="4" t="s">
        <v>19</v>
      </c>
      <c r="G4" s="4" t="s">
        <v>20</v>
      </c>
      <c r="H4" s="4" t="s">
        <v>25</v>
      </c>
      <c r="I4" s="4">
        <f t="shared" si="0"/>
        <v>2</v>
      </c>
      <c r="J4" s="4">
        <f t="shared" si="1"/>
        <v>16384</v>
      </c>
      <c r="K4" s="4" t="s">
        <v>22</v>
      </c>
      <c r="L4" s="4" t="s">
        <v>23</v>
      </c>
      <c r="M4" s="4">
        <v>1</v>
      </c>
      <c r="N4" s="4"/>
      <c r="O4" s="5"/>
      <c r="P4" s="2"/>
      <c r="Q4" s="2">
        <v>4</v>
      </c>
      <c r="R4" s="2">
        <v>448</v>
      </c>
      <c r="S4" s="2"/>
      <c r="T4" s="2" t="str">
        <v>Fancy</v>
      </c>
      <c r="U4" s="2">
        <f>SUMIF(K:K, T4, J:J)</f>
        <v>990336</v>
      </c>
      <c r="V4" s="2"/>
      <c r="W4" s="2" t="str">
        <v>2lb</v>
      </c>
      <c r="X4" s="2">
        <f t="shared" si="2"/>
        <v>29</v>
      </c>
    </row>
    <row r="5" spans="1:24">
      <c r="A5" s="3" t="s">
        <v>17</v>
      </c>
      <c r="B5" s="4" t="s">
        <v>18</v>
      </c>
      <c r="C5" s="4">
        <v>8</v>
      </c>
      <c r="D5" s="4">
        <v>46045</v>
      </c>
      <c r="E5" s="4">
        <v>46038</v>
      </c>
      <c r="F5" s="4" t="s">
        <v>19</v>
      </c>
      <c r="G5" s="4" t="s">
        <v>20</v>
      </c>
      <c r="H5" s="4" t="s">
        <v>26</v>
      </c>
      <c r="I5" s="4">
        <f t="shared" si="0"/>
        <v>9</v>
      </c>
      <c r="J5" s="4">
        <f t="shared" si="1"/>
        <v>15840</v>
      </c>
      <c r="K5" s="4" t="s">
        <v>22</v>
      </c>
      <c r="L5" s="4"/>
      <c r="M5" s="4">
        <v>1</v>
      </c>
      <c r="N5" s="4"/>
      <c r="O5" s="5" t="s">
        <v>27</v>
      </c>
      <c r="P5" s="2"/>
      <c r="Q5" s="2">
        <v>7</v>
      </c>
      <c r="R5" s="2">
        <v>260</v>
      </c>
      <c r="S5" s="2"/>
      <c r="T5" s="2"/>
      <c r="U5" s="2"/>
      <c r="V5" s="2"/>
      <c r="W5" s="2" t="str">
        <v>9lb</v>
      </c>
      <c r="X5" s="2">
        <f t="shared" si="2"/>
        <v>4</v>
      </c>
    </row>
    <row r="6" spans="1:24">
      <c r="A6" s="3" t="s">
        <v>28</v>
      </c>
      <c r="B6" s="4" t="s">
        <v>29</v>
      </c>
      <c r="C6" s="4">
        <v>5</v>
      </c>
      <c r="D6" s="4"/>
      <c r="E6" s="4">
        <v>46038</v>
      </c>
      <c r="F6" s="4" t="s">
        <v>19</v>
      </c>
      <c r="G6" s="4" t="s">
        <v>20</v>
      </c>
      <c r="H6" s="4" t="s">
        <v>24</v>
      </c>
      <c r="I6" s="4">
        <f t="shared" si="0"/>
        <v>4</v>
      </c>
      <c r="J6" s="4">
        <f t="shared" si="1"/>
        <v>8960</v>
      </c>
      <c r="K6" s="4" t="s">
        <v>22</v>
      </c>
      <c r="L6" s="4" t="s">
        <v>30</v>
      </c>
      <c r="M6" s="4">
        <v>3</v>
      </c>
      <c r="N6" s="4"/>
      <c r="O6" s="5"/>
      <c r="P6" s="2"/>
      <c r="Q6" s="2">
        <v>9</v>
      </c>
      <c r="R6" s="2">
        <v>220</v>
      </c>
      <c r="S6" s="2"/>
      <c r="T6" s="2"/>
      <c r="U6" s="2"/>
      <c r="V6" s="2"/>
      <c r="W6" s="2" t="str">
        <v>7lb</v>
      </c>
      <c r="X6" s="2">
        <f t="shared" si="2"/>
        <v>33</v>
      </c>
    </row>
    <row r="7" spans="1:24">
      <c r="A7" s="3" t="s">
        <v>28</v>
      </c>
      <c r="B7" s="4" t="s">
        <v>29</v>
      </c>
      <c r="C7" s="4">
        <v>5</v>
      </c>
      <c r="D7" s="4"/>
      <c r="E7" s="4">
        <v>46038</v>
      </c>
      <c r="F7" s="4" t="s">
        <v>19</v>
      </c>
      <c r="G7" s="4" t="s">
        <v>20</v>
      </c>
      <c r="H7" s="4" t="s">
        <v>25</v>
      </c>
      <c r="I7" s="4">
        <f t="shared" si="0"/>
        <v>2</v>
      </c>
      <c r="J7" s="4">
        <f t="shared" si="1"/>
        <v>10240</v>
      </c>
      <c r="K7" s="4" t="s">
        <v>22</v>
      </c>
      <c r="L7" s="4" t="s">
        <v>30</v>
      </c>
      <c r="M7" s="4">
        <v>2</v>
      </c>
      <c r="N7" s="4">
        <v>102</v>
      </c>
      <c r="O7" s="5" t="s">
        <v>31</v>
      </c>
      <c r="P7" s="2"/>
      <c r="Q7" s="2">
        <v>11</v>
      </c>
      <c r="R7" s="2">
        <v>200</v>
      </c>
      <c r="S7" s="2"/>
      <c r="T7" s="2" t="str">
        <f t="array" ref="T7:T19">_xlfn.UNIQUE(B:B)</f>
        <v>customer_name</v>
      </c>
      <c r="U7" s="2" t="s">
        <v>32</v>
      </c>
      <c r="V7" s="2"/>
      <c r="W7" s="2" t="str">
        <v>25lb</v>
      </c>
      <c r="X7" s="2">
        <f t="shared" si="2"/>
        <v>3</v>
      </c>
    </row>
    <row r="8" spans="1:24" hidden="1">
      <c r="A8" s="3" t="s">
        <v>33</v>
      </c>
      <c r="B8" s="4" t="s">
        <v>34</v>
      </c>
      <c r="C8" s="4">
        <v>5</v>
      </c>
      <c r="D8" s="4">
        <v>46042</v>
      </c>
      <c r="E8" s="4"/>
      <c r="F8" s="4"/>
      <c r="G8" s="4" t="s">
        <v>35</v>
      </c>
      <c r="H8" s="4" t="s">
        <v>21</v>
      </c>
      <c r="I8" s="4">
        <f t="shared" si="0"/>
        <v>11</v>
      </c>
      <c r="J8" s="4">
        <f t="shared" si="1"/>
        <v>11000</v>
      </c>
      <c r="K8" s="4" t="s">
        <v>36</v>
      </c>
      <c r="L8" s="4" t="s">
        <v>37</v>
      </c>
      <c r="M8" s="4">
        <v>4</v>
      </c>
      <c r="N8" s="4"/>
      <c r="O8" s="5" t="s">
        <v>38</v>
      </c>
      <c r="P8" s="2"/>
      <c r="Q8" s="2"/>
      <c r="R8" s="2"/>
      <c r="S8" s="2"/>
      <c r="T8" s="2" t="str">
        <v>General Meats</v>
      </c>
      <c r="U8" s="2">
        <f t="shared" ref="U8:U19" si="3">SUMIF(B:B, T8, M:M)</f>
        <v>8</v>
      </c>
      <c r="V8" s="2"/>
      <c r="W8" s="2" t="str">
        <v>1lb</v>
      </c>
      <c r="X8" s="2">
        <f t="shared" si="2"/>
        <v>9</v>
      </c>
    </row>
    <row r="9" spans="1:24" hidden="1">
      <c r="A9" s="3" t="s">
        <v>33</v>
      </c>
      <c r="B9" s="4" t="s">
        <v>34</v>
      </c>
      <c r="C9" s="4">
        <v>5</v>
      </c>
      <c r="D9" s="4">
        <v>46042</v>
      </c>
      <c r="E9" s="4"/>
      <c r="F9" s="4"/>
      <c r="G9" s="4" t="s">
        <v>35</v>
      </c>
      <c r="H9" s="4" t="s">
        <v>24</v>
      </c>
      <c r="I9" s="4">
        <f t="shared" si="0"/>
        <v>4</v>
      </c>
      <c r="J9" s="4">
        <f t="shared" si="1"/>
        <v>8960</v>
      </c>
      <c r="K9" s="4" t="s">
        <v>36</v>
      </c>
      <c r="L9" s="4" t="s">
        <v>37</v>
      </c>
      <c r="M9" s="4">
        <v>1</v>
      </c>
      <c r="N9" s="4"/>
      <c r="O9" s="5" t="s">
        <v>38</v>
      </c>
      <c r="P9" s="2"/>
      <c r="Q9" s="2"/>
      <c r="R9" s="2"/>
      <c r="S9" s="2"/>
      <c r="T9" s="2" t="str">
        <v>YAFA</v>
      </c>
      <c r="U9" s="2">
        <f t="shared" si="3"/>
        <v>5</v>
      </c>
      <c r="V9" s="2"/>
      <c r="W9" s="2">
        <v>0</v>
      </c>
      <c r="X9" s="2"/>
    </row>
    <row r="10" spans="1:24" hidden="1">
      <c r="A10" s="3" t="s">
        <v>39</v>
      </c>
      <c r="B10" s="4" t="s">
        <v>40</v>
      </c>
      <c r="C10" s="4">
        <v>87</v>
      </c>
      <c r="D10" s="4"/>
      <c r="E10" s="4"/>
      <c r="F10" s="4"/>
      <c r="G10" s="4" t="s">
        <v>41</v>
      </c>
      <c r="H10" s="4" t="s">
        <v>21</v>
      </c>
      <c r="I10" s="4">
        <f t="shared" si="0"/>
        <v>11</v>
      </c>
      <c r="J10" s="4">
        <f t="shared" si="1"/>
        <v>191400</v>
      </c>
      <c r="K10" s="4" t="s">
        <v>42</v>
      </c>
      <c r="L10" s="4" t="s">
        <v>43</v>
      </c>
      <c r="M10" s="4">
        <v>36</v>
      </c>
      <c r="N10" s="4"/>
      <c r="O10" s="5"/>
      <c r="P10" s="2"/>
      <c r="Q10" s="2"/>
      <c r="R10" s="2"/>
      <c r="S10" s="2"/>
      <c r="T10" s="2" t="str">
        <v>International Market (SHAY)</v>
      </c>
      <c r="U10" s="2">
        <f t="shared" si="3"/>
        <v>5</v>
      </c>
      <c r="V10" s="2"/>
      <c r="W10" s="2"/>
      <c r="X10" s="2"/>
    </row>
    <row r="11" spans="1:24" hidden="1">
      <c r="A11" s="3" t="s">
        <v>39</v>
      </c>
      <c r="B11" s="4" t="s">
        <v>40</v>
      </c>
      <c r="C11" s="4">
        <v>87</v>
      </c>
      <c r="D11" s="4"/>
      <c r="E11" s="4"/>
      <c r="F11" s="4"/>
      <c r="G11" s="4" t="s">
        <v>41</v>
      </c>
      <c r="H11" s="4" t="s">
        <v>44</v>
      </c>
      <c r="I11" s="4">
        <f t="shared" si="0"/>
        <v>7</v>
      </c>
      <c r="J11" s="4">
        <f t="shared" si="1"/>
        <v>158340</v>
      </c>
      <c r="K11" s="4" t="s">
        <v>42</v>
      </c>
      <c r="L11" s="4" t="s">
        <v>45</v>
      </c>
      <c r="M11" s="4">
        <v>33</v>
      </c>
      <c r="N11" s="4"/>
      <c r="O11" s="5"/>
      <c r="P11" s="2"/>
      <c r="Q11" s="2"/>
      <c r="R11" s="2"/>
      <c r="S11" s="2"/>
      <c r="T11" s="2" t="str">
        <v>Lipari Foods</v>
      </c>
      <c r="U11" s="2">
        <f t="shared" si="3"/>
        <v>87</v>
      </c>
      <c r="V11" s="2"/>
      <c r="W11" s="2"/>
      <c r="X11" s="2"/>
    </row>
    <row r="12" spans="1:24" hidden="1">
      <c r="A12" s="3" t="s">
        <v>39</v>
      </c>
      <c r="B12" s="4" t="s">
        <v>40</v>
      </c>
      <c r="C12" s="4">
        <v>87</v>
      </c>
      <c r="D12" s="4"/>
      <c r="E12" s="4"/>
      <c r="F12" s="4"/>
      <c r="G12" s="4" t="s">
        <v>41</v>
      </c>
      <c r="H12" s="4" t="s">
        <v>24</v>
      </c>
      <c r="I12" s="4">
        <f t="shared" si="0"/>
        <v>4</v>
      </c>
      <c r="J12" s="4">
        <f t="shared" si="1"/>
        <v>155904</v>
      </c>
      <c r="K12" s="4" t="s">
        <v>42</v>
      </c>
      <c r="L12" s="4" t="s">
        <v>43</v>
      </c>
      <c r="M12" s="4">
        <v>18</v>
      </c>
      <c r="N12" s="4">
        <v>125</v>
      </c>
      <c r="O12" s="5" t="s">
        <v>46</v>
      </c>
      <c r="P12" s="2"/>
      <c r="Q12" s="2"/>
      <c r="R12" s="2"/>
      <c r="S12" s="2"/>
      <c r="T12" s="2" t="str">
        <v>HolyLand</v>
      </c>
      <c r="U12" s="2">
        <f t="shared" si="3"/>
        <v>19</v>
      </c>
      <c r="V12" s="2"/>
      <c r="W12" s="2"/>
      <c r="X12" s="2"/>
    </row>
    <row r="13" spans="1:24" hidden="1">
      <c r="A13" s="3" t="s">
        <v>47</v>
      </c>
      <c r="B13" s="4" t="s">
        <v>48</v>
      </c>
      <c r="C13" s="4">
        <v>21</v>
      </c>
      <c r="D13" s="4"/>
      <c r="E13" s="4"/>
      <c r="F13" s="4"/>
      <c r="G13" s="4" t="s">
        <v>35</v>
      </c>
      <c r="H13" s="4" t="s">
        <v>25</v>
      </c>
      <c r="I13" s="4">
        <f t="shared" si="0"/>
        <v>2</v>
      </c>
      <c r="J13" s="4">
        <f t="shared" si="1"/>
        <v>43008</v>
      </c>
      <c r="K13" s="4" t="s">
        <v>36</v>
      </c>
      <c r="L13" s="4" t="s">
        <v>49</v>
      </c>
      <c r="M13" s="4">
        <v>2</v>
      </c>
      <c r="N13" s="4">
        <v>112</v>
      </c>
      <c r="O13" s="5"/>
      <c r="P13" s="2"/>
      <c r="Q13" s="2"/>
      <c r="R13" s="2"/>
      <c r="S13" s="2"/>
      <c r="T13" s="2" t="str">
        <v>Green Vine Market</v>
      </c>
      <c r="U13" s="2">
        <f t="shared" si="3"/>
        <v>2</v>
      </c>
      <c r="V13" s="2"/>
      <c r="W13" s="2"/>
      <c r="X13" s="2"/>
    </row>
    <row r="14" spans="1:24" hidden="1">
      <c r="A14" s="3" t="s">
        <v>47</v>
      </c>
      <c r="B14" s="4" t="s">
        <v>48</v>
      </c>
      <c r="C14" s="4">
        <v>21</v>
      </c>
      <c r="D14" s="4"/>
      <c r="E14" s="4"/>
      <c r="F14" s="4"/>
      <c r="G14" s="4" t="s">
        <v>35</v>
      </c>
      <c r="H14" s="4" t="s">
        <v>25</v>
      </c>
      <c r="I14" s="4">
        <f t="shared" si="0"/>
        <v>2</v>
      </c>
      <c r="J14" s="4">
        <f t="shared" si="1"/>
        <v>43008</v>
      </c>
      <c r="K14" s="4" t="s">
        <v>42</v>
      </c>
      <c r="L14" s="4" t="s">
        <v>23</v>
      </c>
      <c r="M14" s="4">
        <v>5</v>
      </c>
      <c r="N14" s="4">
        <v>280</v>
      </c>
      <c r="O14" s="5"/>
      <c r="P14" s="2"/>
      <c r="Q14" s="2"/>
      <c r="R14" s="2"/>
      <c r="S14" s="2"/>
      <c r="T14" s="2" t="str">
        <v>India Farmers</v>
      </c>
      <c r="U14" s="2">
        <f t="shared" si="3"/>
        <v>8</v>
      </c>
      <c r="V14" s="2"/>
      <c r="W14" s="2"/>
      <c r="X14" s="2"/>
    </row>
    <row r="15" spans="1:24">
      <c r="A15" s="3" t="s">
        <v>47</v>
      </c>
      <c r="B15" s="4" t="s">
        <v>48</v>
      </c>
      <c r="C15" s="4">
        <v>21</v>
      </c>
      <c r="D15" s="4"/>
      <c r="E15" s="4"/>
      <c r="F15" s="4"/>
      <c r="G15" s="4" t="s">
        <v>35</v>
      </c>
      <c r="H15" s="4" t="s">
        <v>25</v>
      </c>
      <c r="I15" s="4">
        <f t="shared" si="0"/>
        <v>2</v>
      </c>
      <c r="J15" s="4">
        <f t="shared" si="1"/>
        <v>43008</v>
      </c>
      <c r="K15" s="4" t="s">
        <v>22</v>
      </c>
      <c r="L15" s="4" t="s">
        <v>50</v>
      </c>
      <c r="M15" s="4">
        <v>2</v>
      </c>
      <c r="N15" s="4">
        <v>112</v>
      </c>
      <c r="O15" s="5" t="s">
        <v>51</v>
      </c>
      <c r="P15" s="2"/>
      <c r="Q15" s="2">
        <v>25</v>
      </c>
      <c r="R15" s="2"/>
      <c r="S15" s="2"/>
      <c r="T15" s="2" t="str">
        <v>OM Produce</v>
      </c>
      <c r="U15" s="2">
        <f t="shared" si="3"/>
        <v>4</v>
      </c>
      <c r="V15" s="2"/>
      <c r="W15" s="2"/>
      <c r="X15" s="2"/>
    </row>
    <row r="16" spans="1:24" hidden="1">
      <c r="A16" s="3" t="s">
        <v>47</v>
      </c>
      <c r="B16" s="4" t="s">
        <v>48</v>
      </c>
      <c r="C16" s="4">
        <v>21</v>
      </c>
      <c r="D16" s="4"/>
      <c r="E16" s="4"/>
      <c r="F16" s="4"/>
      <c r="G16" s="4" t="s">
        <v>35</v>
      </c>
      <c r="H16" s="4" t="s">
        <v>24</v>
      </c>
      <c r="I16" s="4">
        <f t="shared" si="0"/>
        <v>4</v>
      </c>
      <c r="J16" s="4">
        <f t="shared" si="1"/>
        <v>37632</v>
      </c>
      <c r="K16" s="4" t="s">
        <v>36</v>
      </c>
      <c r="L16" s="4" t="s">
        <v>52</v>
      </c>
      <c r="M16" s="4">
        <v>2</v>
      </c>
      <c r="N16" s="4"/>
      <c r="O16" s="5"/>
      <c r="P16" s="2"/>
      <c r="Q16" s="2"/>
      <c r="R16" s="2"/>
      <c r="S16" s="2"/>
      <c r="T16" s="2" t="str">
        <v>Deshi</v>
      </c>
      <c r="U16" s="2">
        <f t="shared" si="3"/>
        <v>20</v>
      </c>
      <c r="V16" s="2"/>
      <c r="W16" s="2"/>
      <c r="X16" s="2"/>
    </row>
    <row r="17" spans="1:24" hidden="1">
      <c r="A17" s="3" t="s">
        <v>47</v>
      </c>
      <c r="B17" s="4" t="s">
        <v>48</v>
      </c>
      <c r="C17" s="4">
        <v>21</v>
      </c>
      <c r="D17" s="4"/>
      <c r="E17" s="4"/>
      <c r="F17" s="4"/>
      <c r="G17" s="4" t="s">
        <v>35</v>
      </c>
      <c r="H17" s="4" t="s">
        <v>24</v>
      </c>
      <c r="I17" s="4">
        <f t="shared" si="0"/>
        <v>4</v>
      </c>
      <c r="J17" s="4">
        <f t="shared" si="1"/>
        <v>37632</v>
      </c>
      <c r="K17" s="4" t="s">
        <v>42</v>
      </c>
      <c r="L17" s="4" t="s">
        <v>23</v>
      </c>
      <c r="M17" s="4">
        <v>1</v>
      </c>
      <c r="N17" s="4"/>
      <c r="O17" s="5" t="s">
        <v>53</v>
      </c>
      <c r="P17" s="2"/>
      <c r="Q17" s="2"/>
      <c r="R17" s="2"/>
      <c r="S17" s="2"/>
      <c r="T17" s="2" t="str">
        <v>New Royal</v>
      </c>
      <c r="U17" s="2">
        <f t="shared" si="3"/>
        <v>11</v>
      </c>
      <c r="V17" s="2"/>
      <c r="W17" s="2"/>
      <c r="X17" s="2"/>
    </row>
    <row r="18" spans="1:24">
      <c r="A18" s="3" t="s">
        <v>47</v>
      </c>
      <c r="B18" s="4" t="s">
        <v>48</v>
      </c>
      <c r="C18" s="4">
        <v>21</v>
      </c>
      <c r="D18" s="4"/>
      <c r="E18" s="4"/>
      <c r="F18" s="4"/>
      <c r="G18" s="4" t="s">
        <v>35</v>
      </c>
      <c r="H18" s="4" t="s">
        <v>24</v>
      </c>
      <c r="I18" s="4">
        <f t="shared" si="0"/>
        <v>4</v>
      </c>
      <c r="J18" s="4">
        <f t="shared" si="1"/>
        <v>37632</v>
      </c>
      <c r="K18" s="4" t="s">
        <v>22</v>
      </c>
      <c r="L18" s="4" t="s">
        <v>23</v>
      </c>
      <c r="M18" s="4">
        <v>1</v>
      </c>
      <c r="N18" s="4"/>
      <c r="O18" s="5" t="s">
        <v>53</v>
      </c>
      <c r="P18" s="2"/>
      <c r="Q18" s="2"/>
      <c r="R18" s="2"/>
      <c r="S18" s="2"/>
      <c r="T18" s="2" t="str">
        <v>Famous Foods</v>
      </c>
      <c r="U18" s="2">
        <f t="shared" si="3"/>
        <v>20</v>
      </c>
      <c r="V18" s="2"/>
      <c r="W18" s="2"/>
      <c r="X18" s="2"/>
    </row>
    <row r="19" spans="1:24" hidden="1">
      <c r="A19" s="3" t="s">
        <v>47</v>
      </c>
      <c r="B19" s="4" t="s">
        <v>48</v>
      </c>
      <c r="C19" s="4">
        <v>21</v>
      </c>
      <c r="D19" s="4"/>
      <c r="E19" s="4"/>
      <c r="F19" s="4"/>
      <c r="G19" s="4" t="s">
        <v>35</v>
      </c>
      <c r="H19" s="4" t="s">
        <v>26</v>
      </c>
      <c r="I19" s="4">
        <f t="shared" si="0"/>
        <v>9</v>
      </c>
      <c r="J19" s="4">
        <f t="shared" si="1"/>
        <v>41580</v>
      </c>
      <c r="K19" s="4" t="s">
        <v>36</v>
      </c>
      <c r="L19" s="4" t="s">
        <v>52</v>
      </c>
      <c r="M19" s="4">
        <v>2</v>
      </c>
      <c r="N19" s="4">
        <v>440</v>
      </c>
      <c r="O19" s="5"/>
      <c r="P19" s="2"/>
      <c r="Q19" s="2"/>
      <c r="R19" s="2"/>
      <c r="S19" s="2"/>
      <c r="T19" s="2">
        <v>0</v>
      </c>
      <c r="U19" s="2">
        <f t="shared" si="3"/>
        <v>0</v>
      </c>
      <c r="V19" s="2"/>
      <c r="W19" s="2"/>
      <c r="X19" s="2"/>
    </row>
    <row r="20" spans="1:24" hidden="1">
      <c r="A20" s="3" t="s">
        <v>47</v>
      </c>
      <c r="B20" s="4" t="s">
        <v>48</v>
      </c>
      <c r="C20" s="4">
        <v>21</v>
      </c>
      <c r="D20" s="4"/>
      <c r="E20" s="4"/>
      <c r="F20" s="4"/>
      <c r="G20" s="4" t="s">
        <v>35</v>
      </c>
      <c r="H20" s="4" t="s">
        <v>26</v>
      </c>
      <c r="I20" s="4">
        <f t="shared" si="0"/>
        <v>9</v>
      </c>
      <c r="J20" s="4">
        <f t="shared" si="1"/>
        <v>41580</v>
      </c>
      <c r="K20" s="4" t="s">
        <v>42</v>
      </c>
      <c r="L20" s="4" t="s">
        <v>23</v>
      </c>
      <c r="M20" s="4">
        <v>1</v>
      </c>
      <c r="N20" s="4"/>
      <c r="O20" s="5"/>
      <c r="P20" s="2"/>
      <c r="Q20" s="2"/>
      <c r="R20" s="2"/>
      <c r="S20" s="2"/>
      <c r="T20" s="2"/>
      <c r="U20" s="2"/>
      <c r="V20" s="2"/>
      <c r="W20" s="2"/>
      <c r="X20" s="2"/>
    </row>
    <row r="21" spans="1:24" hidden="1">
      <c r="A21" s="3" t="s">
        <v>47</v>
      </c>
      <c r="B21" s="4" t="s">
        <v>48</v>
      </c>
      <c r="C21" s="4">
        <v>21</v>
      </c>
      <c r="D21" s="4"/>
      <c r="E21" s="4"/>
      <c r="F21" s="4"/>
      <c r="G21" s="4" t="s">
        <v>35</v>
      </c>
      <c r="H21" s="4" t="s">
        <v>54</v>
      </c>
      <c r="I21" s="4">
        <f t="shared" si="0"/>
        <v>25</v>
      </c>
      <c r="J21" s="4">
        <f t="shared" si="1"/>
        <v>50400</v>
      </c>
      <c r="K21" s="4" t="s">
        <v>42</v>
      </c>
      <c r="L21" s="4" t="s">
        <v>50</v>
      </c>
      <c r="M21" s="4">
        <v>2</v>
      </c>
      <c r="N21" s="4">
        <v>180</v>
      </c>
      <c r="O21" s="5"/>
      <c r="P21" s="2"/>
      <c r="Q21" s="2"/>
      <c r="R21" s="2"/>
      <c r="S21" s="2"/>
      <c r="T21" s="2"/>
      <c r="U21" s="2"/>
      <c r="V21" s="2"/>
      <c r="W21" s="2"/>
      <c r="X21" s="2"/>
    </row>
    <row r="22" spans="1:24">
      <c r="A22" s="3" t="s">
        <v>47</v>
      </c>
      <c r="B22" s="4" t="s">
        <v>48</v>
      </c>
      <c r="C22" s="4">
        <v>21</v>
      </c>
      <c r="D22" s="4"/>
      <c r="E22" s="4"/>
      <c r="F22" s="4"/>
      <c r="G22" s="4" t="s">
        <v>35</v>
      </c>
      <c r="H22" s="4" t="s">
        <v>54</v>
      </c>
      <c r="I22" s="4">
        <f t="shared" si="0"/>
        <v>25</v>
      </c>
      <c r="J22" s="4">
        <f t="shared" si="1"/>
        <v>50400</v>
      </c>
      <c r="K22" s="4" t="s">
        <v>22</v>
      </c>
      <c r="L22" s="4" t="s">
        <v>50</v>
      </c>
      <c r="M22" s="4">
        <v>1</v>
      </c>
      <c r="N22" s="4">
        <v>90</v>
      </c>
      <c r="O22" s="5"/>
      <c r="P22" s="2"/>
      <c r="Q22" s="2"/>
      <c r="R22" s="2"/>
      <c r="S22" s="2"/>
      <c r="T22" s="2"/>
      <c r="U22" s="2"/>
      <c r="V22" s="2"/>
      <c r="W22" s="2"/>
      <c r="X22" s="2"/>
    </row>
    <row r="23" spans="1:24">
      <c r="A23" s="3" t="s">
        <v>55</v>
      </c>
      <c r="B23" s="4" t="s">
        <v>56</v>
      </c>
      <c r="C23" s="4">
        <v>2</v>
      </c>
      <c r="D23" s="4"/>
      <c r="E23" s="4"/>
      <c r="F23" s="4"/>
      <c r="G23" s="4" t="s">
        <v>57</v>
      </c>
      <c r="H23" s="4" t="s">
        <v>24</v>
      </c>
      <c r="I23" s="4">
        <f t="shared" si="0"/>
        <v>4</v>
      </c>
      <c r="J23" s="4">
        <f t="shared" si="1"/>
        <v>3584</v>
      </c>
      <c r="K23" s="4" t="s">
        <v>22</v>
      </c>
      <c r="L23" s="4"/>
      <c r="M23" s="4">
        <v>2</v>
      </c>
      <c r="N23" s="4"/>
      <c r="O23" s="5" t="s">
        <v>53</v>
      </c>
      <c r="P23" s="2"/>
      <c r="Q23" s="2"/>
      <c r="R23" s="2"/>
      <c r="S23" s="2"/>
      <c r="T23" s="2"/>
      <c r="U23" s="2"/>
      <c r="V23" s="2"/>
      <c r="W23" s="2"/>
      <c r="X23" s="2"/>
    </row>
    <row r="24" spans="1:24" hidden="1">
      <c r="A24" s="3" t="s">
        <v>58</v>
      </c>
      <c r="B24" s="4" t="s">
        <v>59</v>
      </c>
      <c r="C24" s="4">
        <v>8</v>
      </c>
      <c r="D24" s="4"/>
      <c r="E24" s="4"/>
      <c r="F24" s="4"/>
      <c r="G24" s="4" t="s">
        <v>35</v>
      </c>
      <c r="H24" s="4" t="s">
        <v>60</v>
      </c>
      <c r="I24" s="4">
        <f t="shared" si="0"/>
        <v>1</v>
      </c>
      <c r="J24" s="4">
        <f t="shared" si="1"/>
        <v>12288</v>
      </c>
      <c r="K24" s="4" t="s">
        <v>42</v>
      </c>
      <c r="L24" s="4" t="s">
        <v>61</v>
      </c>
      <c r="M24" s="4">
        <v>1</v>
      </c>
      <c r="N24" s="4">
        <v>70</v>
      </c>
      <c r="O24" s="5" t="s">
        <v>62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hidden="1">
      <c r="A25" s="3" t="s">
        <v>58</v>
      </c>
      <c r="B25" s="4" t="s">
        <v>59</v>
      </c>
      <c r="C25" s="4">
        <v>8</v>
      </c>
      <c r="D25" s="4"/>
      <c r="E25" s="4"/>
      <c r="F25" s="4"/>
      <c r="G25" s="4" t="s">
        <v>35</v>
      </c>
      <c r="H25" s="4" t="s">
        <v>25</v>
      </c>
      <c r="I25" s="4">
        <f t="shared" si="0"/>
        <v>2</v>
      </c>
      <c r="J25" s="4">
        <f t="shared" si="1"/>
        <v>16384</v>
      </c>
      <c r="K25" s="4" t="s">
        <v>42</v>
      </c>
      <c r="L25" s="4" t="s">
        <v>61</v>
      </c>
      <c r="M25" s="4">
        <v>2</v>
      </c>
      <c r="N25" s="4">
        <v>130</v>
      </c>
      <c r="O25" s="5" t="s">
        <v>63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hidden="1">
      <c r="A26" s="3" t="s">
        <v>58</v>
      </c>
      <c r="B26" s="4" t="s">
        <v>59</v>
      </c>
      <c r="C26" s="4">
        <v>8</v>
      </c>
      <c r="D26" s="4"/>
      <c r="E26" s="4"/>
      <c r="F26" s="4"/>
      <c r="G26" s="4" t="s">
        <v>35</v>
      </c>
      <c r="H26" s="4" t="s">
        <v>21</v>
      </c>
      <c r="I26" s="4">
        <f t="shared" si="0"/>
        <v>11</v>
      </c>
      <c r="J26" s="4">
        <f t="shared" si="1"/>
        <v>17600</v>
      </c>
      <c r="K26" s="4" t="s">
        <v>42</v>
      </c>
      <c r="L26" s="4" t="s">
        <v>61</v>
      </c>
      <c r="M26" s="4">
        <v>5</v>
      </c>
      <c r="N26" s="4">
        <v>910</v>
      </c>
      <c r="O26" s="5" t="s">
        <v>64</v>
      </c>
      <c r="P26" s="2"/>
      <c r="Q26" s="2"/>
      <c r="R26" s="2"/>
      <c r="S26" s="2"/>
      <c r="T26" s="2"/>
      <c r="U26" s="2"/>
      <c r="V26" s="2"/>
      <c r="W26" s="2"/>
      <c r="X26" s="2"/>
    </row>
    <row r="27" spans="1:24" hidden="1">
      <c r="A27" s="3" t="s">
        <v>65</v>
      </c>
      <c r="B27" s="4" t="s">
        <v>66</v>
      </c>
      <c r="C27" s="4">
        <v>4</v>
      </c>
      <c r="D27" s="4"/>
      <c r="E27" s="4"/>
      <c r="F27" s="4"/>
      <c r="G27" s="4" t="s">
        <v>57</v>
      </c>
      <c r="H27" s="4" t="s">
        <v>25</v>
      </c>
      <c r="I27" s="4">
        <f t="shared" si="0"/>
        <v>2</v>
      </c>
      <c r="J27" s="4">
        <f t="shared" si="1"/>
        <v>8192</v>
      </c>
      <c r="K27" s="4" t="s">
        <v>36</v>
      </c>
      <c r="L27" s="4"/>
      <c r="M27" s="4">
        <v>2</v>
      </c>
      <c r="N27" s="4"/>
      <c r="O27" s="5"/>
      <c r="P27" s="2"/>
      <c r="Q27" s="2"/>
      <c r="R27" s="2"/>
      <c r="S27" s="2"/>
      <c r="T27" s="2"/>
      <c r="U27" s="2"/>
      <c r="V27" s="2"/>
      <c r="W27" s="2"/>
      <c r="X27" s="2"/>
    </row>
    <row r="28" spans="1:24" hidden="1">
      <c r="A28" s="3" t="s">
        <v>65</v>
      </c>
      <c r="B28" s="4" t="s">
        <v>66</v>
      </c>
      <c r="C28" s="4">
        <v>4</v>
      </c>
      <c r="D28" s="4"/>
      <c r="E28" s="4"/>
      <c r="F28" s="4"/>
      <c r="G28" s="4" t="s">
        <v>57</v>
      </c>
      <c r="H28" s="4" t="s">
        <v>60</v>
      </c>
      <c r="I28" s="4">
        <f t="shared" si="0"/>
        <v>1</v>
      </c>
      <c r="J28" s="4">
        <f t="shared" si="1"/>
        <v>6144</v>
      </c>
      <c r="K28" s="4" t="s">
        <v>36</v>
      </c>
      <c r="L28" s="4"/>
      <c r="M28" s="4">
        <v>2</v>
      </c>
      <c r="N28" s="4"/>
      <c r="O28" s="5"/>
      <c r="P28" s="2"/>
      <c r="Q28" s="2"/>
      <c r="R28" s="2"/>
      <c r="S28" s="2"/>
      <c r="T28" s="2"/>
      <c r="U28" s="2"/>
      <c r="V28" s="2"/>
      <c r="W28" s="2"/>
      <c r="X28" s="2"/>
    </row>
    <row r="29" spans="1:24" hidden="1">
      <c r="A29" s="3" t="s">
        <v>67</v>
      </c>
      <c r="B29" s="4" t="s">
        <v>68</v>
      </c>
      <c r="C29" s="4">
        <v>20</v>
      </c>
      <c r="D29" s="4"/>
      <c r="E29" s="4"/>
      <c r="F29" s="4"/>
      <c r="G29" s="4" t="s">
        <v>20</v>
      </c>
      <c r="H29" s="4" t="s">
        <v>25</v>
      </c>
      <c r="I29" s="4">
        <f t="shared" si="0"/>
        <v>2</v>
      </c>
      <c r="J29" s="4">
        <f t="shared" si="1"/>
        <v>40960</v>
      </c>
      <c r="K29" s="4" t="s">
        <v>42</v>
      </c>
      <c r="L29" s="4" t="s">
        <v>69</v>
      </c>
      <c r="M29" s="4">
        <v>9</v>
      </c>
      <c r="N29" s="4"/>
      <c r="O29" s="5"/>
      <c r="P29" s="2"/>
      <c r="Q29" s="2"/>
      <c r="R29" s="2"/>
      <c r="S29" s="2"/>
      <c r="T29" s="2"/>
      <c r="U29" s="2"/>
      <c r="V29" s="2"/>
      <c r="W29" s="2"/>
      <c r="X29" s="2"/>
    </row>
    <row r="30" spans="1:24" hidden="1">
      <c r="A30" s="3" t="s">
        <v>67</v>
      </c>
      <c r="B30" s="4" t="s">
        <v>68</v>
      </c>
      <c r="C30" s="4">
        <v>20</v>
      </c>
      <c r="D30" s="4"/>
      <c r="E30" s="4"/>
      <c r="F30" s="4"/>
      <c r="G30" s="4" t="s">
        <v>20</v>
      </c>
      <c r="H30" s="4" t="s">
        <v>24</v>
      </c>
      <c r="I30" s="4">
        <f t="shared" si="0"/>
        <v>4</v>
      </c>
      <c r="J30" s="4">
        <f t="shared" si="1"/>
        <v>35840</v>
      </c>
      <c r="K30" s="4" t="s">
        <v>42</v>
      </c>
      <c r="L30" s="4" t="s">
        <v>69</v>
      </c>
      <c r="M30" s="4">
        <v>9</v>
      </c>
      <c r="N30" s="4"/>
      <c r="O30" s="5"/>
      <c r="P30" s="2"/>
      <c r="Q30" s="2"/>
      <c r="R30" s="2"/>
      <c r="S30" s="2"/>
      <c r="T30" s="2"/>
      <c r="U30" s="2"/>
      <c r="V30" s="2"/>
      <c r="W30" s="2"/>
      <c r="X30" s="2"/>
    </row>
    <row r="31" spans="1:24" hidden="1">
      <c r="A31" s="3" t="s">
        <v>67</v>
      </c>
      <c r="B31" s="4" t="s">
        <v>68</v>
      </c>
      <c r="C31" s="4">
        <v>20</v>
      </c>
      <c r="D31" s="4"/>
      <c r="E31" s="4"/>
      <c r="F31" s="4"/>
      <c r="G31" s="4" t="s">
        <v>20</v>
      </c>
      <c r="H31" s="4" t="s">
        <v>21</v>
      </c>
      <c r="I31" s="4">
        <f t="shared" si="0"/>
        <v>11</v>
      </c>
      <c r="J31" s="4">
        <f t="shared" si="1"/>
        <v>44000</v>
      </c>
      <c r="K31" s="4" t="s">
        <v>42</v>
      </c>
      <c r="L31" s="4" t="s">
        <v>45</v>
      </c>
      <c r="M31" s="4">
        <v>2</v>
      </c>
      <c r="N31" s="4"/>
      <c r="O31" s="5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 s="3" t="s">
        <v>70</v>
      </c>
      <c r="B32" s="4" t="s">
        <v>71</v>
      </c>
      <c r="C32" s="4">
        <v>11</v>
      </c>
      <c r="D32" s="4"/>
      <c r="E32" s="4"/>
      <c r="F32" s="4"/>
      <c r="G32" s="4" t="s">
        <v>35</v>
      </c>
      <c r="H32" s="4" t="s">
        <v>21</v>
      </c>
      <c r="I32" s="4">
        <f t="shared" si="0"/>
        <v>11</v>
      </c>
      <c r="J32" s="4">
        <f t="shared" si="1"/>
        <v>24200</v>
      </c>
      <c r="K32" s="4" t="s">
        <v>22</v>
      </c>
      <c r="L32" s="4" t="s">
        <v>72</v>
      </c>
      <c r="M32" s="4">
        <v>3</v>
      </c>
      <c r="N32" s="4"/>
      <c r="O32" s="5"/>
      <c r="P32" s="2"/>
      <c r="Q32" s="2"/>
      <c r="R32" s="2"/>
      <c r="S32" s="2"/>
      <c r="T32" s="2"/>
      <c r="U32" s="2"/>
      <c r="V32" s="2"/>
      <c r="W32" s="2"/>
      <c r="X32" s="2"/>
    </row>
    <row r="33" spans="1:24" hidden="1">
      <c r="A33" s="3" t="s">
        <v>70</v>
      </c>
      <c r="B33" s="4" t="s">
        <v>71</v>
      </c>
      <c r="C33" s="4">
        <v>11</v>
      </c>
      <c r="D33" s="4"/>
      <c r="E33" s="4"/>
      <c r="F33" s="4"/>
      <c r="G33" s="4" t="s">
        <v>35</v>
      </c>
      <c r="H33" s="4" t="s">
        <v>21</v>
      </c>
      <c r="I33" s="4">
        <f t="shared" si="0"/>
        <v>11</v>
      </c>
      <c r="J33" s="4">
        <f t="shared" si="1"/>
        <v>24200</v>
      </c>
      <c r="K33" s="4" t="s">
        <v>42</v>
      </c>
      <c r="L33" s="4" t="s">
        <v>73</v>
      </c>
      <c r="M33" s="4">
        <v>4</v>
      </c>
      <c r="N33" s="4"/>
      <c r="O33" s="5"/>
      <c r="P33" s="2"/>
      <c r="Q33" s="2"/>
      <c r="R33" s="2"/>
      <c r="S33" s="2"/>
      <c r="T33" s="2"/>
      <c r="U33" s="2"/>
      <c r="V33" s="2"/>
      <c r="W33" s="2"/>
      <c r="X33" s="2"/>
    </row>
    <row r="34" spans="1:24">
      <c r="A34" s="3" t="s">
        <v>70</v>
      </c>
      <c r="B34" s="4" t="s">
        <v>71</v>
      </c>
      <c r="C34" s="4">
        <v>11</v>
      </c>
      <c r="D34" s="4"/>
      <c r="E34" s="4"/>
      <c r="F34" s="4"/>
      <c r="G34" s="4" t="s">
        <v>35</v>
      </c>
      <c r="H34" s="4" t="s">
        <v>24</v>
      </c>
      <c r="I34" s="4">
        <f t="shared" si="0"/>
        <v>4</v>
      </c>
      <c r="J34" s="4">
        <f t="shared" si="1"/>
        <v>19712</v>
      </c>
      <c r="K34" s="4" t="s">
        <v>22</v>
      </c>
      <c r="L34" s="4" t="s">
        <v>72</v>
      </c>
      <c r="M34" s="4">
        <v>2</v>
      </c>
      <c r="N34" s="4"/>
      <c r="O34" s="5"/>
      <c r="P34" s="2"/>
      <c r="Q34" s="2"/>
      <c r="R34" s="2"/>
      <c r="S34" s="2"/>
      <c r="T34" s="2"/>
      <c r="U34" s="2"/>
      <c r="V34" s="2"/>
      <c r="W34" s="2"/>
      <c r="X34" s="2"/>
    </row>
    <row r="35" spans="1:24">
      <c r="A35" s="3" t="s">
        <v>70</v>
      </c>
      <c r="B35" s="4" t="s">
        <v>71</v>
      </c>
      <c r="C35" s="4">
        <v>11</v>
      </c>
      <c r="D35" s="4"/>
      <c r="E35" s="4"/>
      <c r="F35" s="4"/>
      <c r="G35" s="4" t="s">
        <v>35</v>
      </c>
      <c r="H35" s="4" t="s">
        <v>25</v>
      </c>
      <c r="I35" s="4">
        <f t="shared" si="0"/>
        <v>2</v>
      </c>
      <c r="J35" s="4">
        <f t="shared" si="1"/>
        <v>22528</v>
      </c>
      <c r="K35" s="4" t="s">
        <v>22</v>
      </c>
      <c r="L35" s="4" t="s">
        <v>72</v>
      </c>
      <c r="M35" s="4">
        <v>2</v>
      </c>
      <c r="N35" s="4"/>
      <c r="O35" s="5"/>
      <c r="P35" s="2"/>
      <c r="Q35" s="2"/>
      <c r="R35" s="2"/>
      <c r="S35" s="2"/>
      <c r="T35" s="2"/>
      <c r="U35" s="2"/>
      <c r="V35" s="2"/>
      <c r="W35" s="2"/>
      <c r="X35" s="2"/>
    </row>
    <row r="36" spans="1:24" hidden="1">
      <c r="A36" s="3" t="s">
        <v>74</v>
      </c>
      <c r="B36" s="4" t="s">
        <v>75</v>
      </c>
      <c r="C36" s="4">
        <v>20</v>
      </c>
      <c r="D36" s="4"/>
      <c r="E36" s="4"/>
      <c r="F36" s="4"/>
      <c r="G36" s="4" t="s">
        <v>35</v>
      </c>
      <c r="H36" s="4" t="s">
        <v>21</v>
      </c>
      <c r="I36" s="4">
        <f t="shared" si="0"/>
        <v>11</v>
      </c>
      <c r="J36" s="4">
        <f t="shared" si="1"/>
        <v>44000</v>
      </c>
      <c r="K36" s="4" t="s">
        <v>42</v>
      </c>
      <c r="L36" s="4"/>
      <c r="M36" s="4">
        <v>8</v>
      </c>
      <c r="N36" s="4"/>
      <c r="O36" s="5" t="s">
        <v>76</v>
      </c>
      <c r="P36" s="2"/>
      <c r="Q36" s="2"/>
      <c r="R36" s="2"/>
      <c r="S36" s="2"/>
      <c r="T36" s="2"/>
      <c r="U36" s="2"/>
      <c r="V36" s="2"/>
      <c r="W36" s="2"/>
      <c r="X36" s="2"/>
    </row>
    <row r="37" spans="1:24" hidden="1">
      <c r="A37" s="3" t="s">
        <v>74</v>
      </c>
      <c r="B37" s="4" t="s">
        <v>75</v>
      </c>
      <c r="C37" s="4">
        <v>20</v>
      </c>
      <c r="D37" s="4"/>
      <c r="E37" s="4"/>
      <c r="F37" s="4"/>
      <c r="G37" s="4" t="s">
        <v>35</v>
      </c>
      <c r="H37" s="4" t="s">
        <v>24</v>
      </c>
      <c r="I37" s="4">
        <f t="shared" si="0"/>
        <v>4</v>
      </c>
      <c r="J37" s="4">
        <f t="shared" si="1"/>
        <v>35840</v>
      </c>
      <c r="K37" s="4" t="s">
        <v>42</v>
      </c>
      <c r="L37" s="4"/>
      <c r="M37" s="4">
        <v>4</v>
      </c>
      <c r="N37" s="4"/>
      <c r="O37" s="5" t="s">
        <v>76</v>
      </c>
      <c r="P37" s="2"/>
      <c r="Q37" s="2"/>
      <c r="R37" s="2"/>
      <c r="S37" s="2"/>
      <c r="T37" s="2"/>
      <c r="U37" s="2"/>
      <c r="V37" s="2"/>
      <c r="W37" s="2"/>
      <c r="X37" s="2"/>
    </row>
    <row r="38" spans="1:24" hidden="1">
      <c r="A38" s="3" t="s">
        <v>74</v>
      </c>
      <c r="B38" s="4" t="s">
        <v>75</v>
      </c>
      <c r="C38" s="4">
        <v>20</v>
      </c>
      <c r="D38" s="4"/>
      <c r="E38" s="4"/>
      <c r="F38" s="4"/>
      <c r="G38" s="4" t="s">
        <v>35</v>
      </c>
      <c r="H38" s="4" t="s">
        <v>25</v>
      </c>
      <c r="I38" s="4">
        <f t="shared" si="0"/>
        <v>2</v>
      </c>
      <c r="J38" s="4">
        <f t="shared" si="1"/>
        <v>40960</v>
      </c>
      <c r="K38" s="4" t="s">
        <v>42</v>
      </c>
      <c r="L38" s="4"/>
      <c r="M38" s="4">
        <v>2</v>
      </c>
      <c r="N38" s="4"/>
      <c r="O38" s="5" t="s">
        <v>76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hidden="1">
      <c r="A39" s="3" t="s">
        <v>74</v>
      </c>
      <c r="B39" s="5" t="s">
        <v>75</v>
      </c>
      <c r="C39" s="5">
        <v>20</v>
      </c>
      <c r="D39" s="5"/>
      <c r="E39" s="5"/>
      <c r="F39" s="5"/>
      <c r="G39" s="5" t="s">
        <v>35</v>
      </c>
      <c r="H39" s="5" t="s">
        <v>60</v>
      </c>
      <c r="I39" s="5">
        <f t="shared" si="0"/>
        <v>1</v>
      </c>
      <c r="J39" s="4">
        <f t="shared" si="1"/>
        <v>30720</v>
      </c>
      <c r="K39" s="5" t="s">
        <v>36</v>
      </c>
      <c r="L39" s="5"/>
      <c r="M39" s="5">
        <v>6</v>
      </c>
      <c r="N39" s="5"/>
      <c r="O39" s="5" t="s">
        <v>77</v>
      </c>
      <c r="P39" s="2"/>
      <c r="Q39" s="2"/>
      <c r="R39" s="2"/>
      <c r="S39" s="2"/>
      <c r="T39" s="2"/>
      <c r="U39" s="2"/>
      <c r="V39" s="2"/>
      <c r="W39" s="2"/>
      <c r="X39" s="2"/>
    </row>
  </sheetData>
  <pageMargins left="0" right="0" top="0.39370000000000011" bottom="0.39370000000000011" header="0" footer="0"/>
  <headerFooter>
    <oddHeader>&amp;C&amp;A</oddHeader>
    <oddFooter>&amp;CPage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cloudconvert_16</cp:lastModifiedBy>
  <cp:revision>2</cp:revision>
  <dcterms:created xsi:type="dcterms:W3CDTF">2026-01-15T23:38:11Z</dcterms:created>
  <dcterms:modified xsi:type="dcterms:W3CDTF">2026-01-15T23:38:11Z</dcterms:modified>
</cp:coreProperties>
</file>